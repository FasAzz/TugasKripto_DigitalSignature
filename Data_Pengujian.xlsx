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KULIAH\SMT 5\Keamanan Informasi\UTS\digital_sign\TugasKripto_DigitalSignature\"/>
    </mc:Choice>
  </mc:AlternateContent>
  <xr:revisionPtr revIDLastSave="0" documentId="13_ncr:1_{BB50FA0F-1F15-46FB-B70C-0C4696D075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ingkasan" sheetId="1" r:id="rId1"/>
    <sheet name="Benchmark 30x" sheetId="2" r:id="rId2"/>
    <sheet name="Ukuran" sheetId="3" r:id="rId3"/>
    <sheet name="Pengujian Fungsional" sheetId="4" r:id="rId4"/>
    <sheet name="Analisis Keamanan" sheetId="5" r:id="rId5"/>
    <sheet name="Unit Test" sheetId="6" r:id="rId6"/>
    <sheet name="Bukti Screenshot" sheetId="7" r:id="rId7"/>
    <sheet name="Metodologi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2" l="1"/>
  <c r="C40" i="2"/>
  <c r="B40" i="2"/>
  <c r="C39" i="2"/>
  <c r="B39" i="2"/>
  <c r="C38" i="2"/>
  <c r="B38" i="2"/>
  <c r="C37" i="2"/>
  <c r="B37" i="2"/>
  <c r="C36" i="2"/>
</calcChain>
</file>

<file path=xl/sharedStrings.xml><?xml version="1.0" encoding="utf-8"?>
<sst xmlns="http://schemas.openxmlformats.org/spreadsheetml/2006/main" count="263" uniqueCount="176">
  <si>
    <t>DATA PENGUJIAN SISTEM TANDA TANGAN DIGITAL RSA-PSS</t>
  </si>
  <si>
    <t>Proyek</t>
  </si>
  <si>
    <t>Sistem Tanda Tangan Digital Dokumen Elektronik Berbasis RSA-PSS, SHA-256, QR Code, dan Multiple Independent Digital Signatures</t>
  </si>
  <si>
    <t>Algoritma</t>
  </si>
  <si>
    <t>RSA 2048-bit + RSA-PSS + SHA-256</t>
  </si>
  <si>
    <t>Sumber data</t>
  </si>
  <si>
    <t>Data_Pengujian.xlsx kelompok + dokumentasi hasil pengujian yang tersedia</t>
  </si>
  <si>
    <t>Catatan</t>
  </si>
  <si>
    <t>Workbook ini hanya memasukkan hasil yang memiliki data/bukti. Pengujian yang belum memiliki bukti dicatat sebagai BELUM TERDOKUMENTASI, bukan dibuat-buat.</t>
  </si>
  <si>
    <t>Ringkasan hasil</t>
  </si>
  <si>
    <t>Benchmark signing</t>
  </si>
  <si>
    <t>30 percobaan</t>
  </si>
  <si>
    <t>Rata-rata 3.4792 ms</t>
  </si>
  <si>
    <t>TERSEDIA</t>
  </si>
  <si>
    <t>Benchmark verification</t>
  </si>
  <si>
    <t>Rata-rata 1.9468 ms</t>
  </si>
  <si>
    <t>Ukuran signature</t>
  </si>
  <si>
    <t>RSA 2048</t>
  </si>
  <si>
    <t>256 byte</t>
  </si>
  <si>
    <t>Ukuran public key</t>
  </si>
  <si>
    <t>PEM / DER</t>
  </si>
  <si>
    <t>451 / 294 byte</t>
  </si>
  <si>
    <t>Tamper 1 byte</t>
  </si>
  <si>
    <t>Ubah satu karakter/byte dokumen</t>
  </si>
  <si>
    <t>INVALID</t>
  </si>
  <si>
    <t>TERDOKUMENTASI</t>
  </si>
  <si>
    <t>Multiple signature</t>
  </si>
  <si>
    <t>Lebih dari satu penandatangan</t>
  </si>
  <si>
    <t>VALID</t>
  </si>
  <si>
    <t>QR diubah</t>
  </si>
  <si>
    <t>QR-Code dimodifikasi</t>
  </si>
  <si>
    <t>Server reload</t>
  </si>
  <si>
    <t>Verifikasi setelah server reload</t>
  </si>
  <si>
    <t>Wrong public key</t>
  </si>
  <si>
    <t>Kunci publik tidak cocok</t>
  </si>
  <si>
    <t>Belum ada bukti</t>
  </si>
  <si>
    <t>BELUM TERDOKUMENTASI</t>
  </si>
  <si>
    <t>Unit test</t>
  </si>
  <si>
    <t>Jumlah yang dijalankan</t>
  </si>
  <si>
    <t>8 lulus, 0 gagal</t>
  </si>
  <si>
    <t>TERCATAT DARI REVIEW REPO</t>
  </si>
  <si>
    <t>BENCHMARK SIGNING DAN VERIFICATION (30 PERCOBAAN)</t>
  </si>
  <si>
    <t>Percobaan ke-</t>
  </si>
  <si>
    <t>Waktu Sign (ms)</t>
  </si>
  <si>
    <t>Waktu Verify (ms)</t>
  </si>
  <si>
    <t>Keterangan</t>
  </si>
  <si>
    <t>Sumber</t>
  </si>
  <si>
    <t>Pengukuran aktual</t>
  </si>
  <si>
    <t>Statistik</t>
  </si>
  <si>
    <t>Sign (ms)</t>
  </si>
  <si>
    <t>Verify (ms)</t>
  </si>
  <si>
    <t>Interpretasi</t>
  </si>
  <si>
    <t>Rata-rata</t>
  </si>
  <si>
    <t>Rata-rata dan variasi dihitung dari 30 pengukuran aktual.</t>
  </si>
  <si>
    <t>Median</t>
  </si>
  <si>
    <t>Minimum</t>
  </si>
  <si>
    <t>Maksimum</t>
  </si>
  <si>
    <t>Standar Deviasi</t>
  </si>
  <si>
    <t>UKURAN KOMPONEN KRIPTOGRAFI</t>
  </si>
  <si>
    <t>Item</t>
  </si>
  <si>
    <t>Nilai</t>
  </si>
  <si>
    <t>Satuan</t>
  </si>
  <si>
    <t>Signature</t>
  </si>
  <si>
    <t>byte</t>
  </si>
  <si>
    <t>RSA 2048 menghasilkan signature berukuran 256 byte.</t>
  </si>
  <si>
    <t>Public key PEM</t>
  </si>
  <si>
    <t>Ukuran representasi public key dalam format PEM.</t>
  </si>
  <si>
    <t>Public key DER</t>
  </si>
  <si>
    <t>Ukuran representasi public key dalam format DER.</t>
  </si>
  <si>
    <t>Panjang kunci RSA</t>
  </si>
  <si>
    <t>bit</t>
  </si>
  <si>
    <t>Panjang modulus RSA yang digunakan.</t>
  </si>
  <si>
    <t>PEM dan DER adalah dua representasi kunci publik; keduanya bukan dua kunci berbeda.</t>
  </si>
  <si>
    <t>PENGUJIAN FUNGSIONAL DAN SERANGAN</t>
  </si>
  <si>
    <t>No</t>
  </si>
  <si>
    <t>Skenario</t>
  </si>
  <si>
    <t>Input/Perubahan</t>
  </si>
  <si>
    <t>Hasil Aktual</t>
  </si>
  <si>
    <t>Status</t>
  </si>
  <si>
    <t>Bukti</t>
  </si>
  <si>
    <t>Satu karakter/byte dokumen diubah setelah ditandatangani</t>
  </si>
  <si>
    <t>PASS</t>
  </si>
  <si>
    <t>tamper_1byte.png</t>
  </si>
  <si>
    <t>Perubahan dokumen terdeteksi melalui ketidaksesuaian hash/signature.</t>
  </si>
  <si>
    <t>Bukti screenshot tersedia.</t>
  </si>
  <si>
    <t>Dokumen diberi lebih dari satu tanda tangan</t>
  </si>
  <si>
    <t>multi_signer_valid.png</t>
  </si>
  <si>
    <t>Seluruh tahap signature yang diuji dapat diverifikasi.</t>
  </si>
  <si>
    <t>QR-Code diubah</t>
  </si>
  <si>
    <t>qr_diubah.png</t>
  </si>
  <si>
    <t>Modifikasi QR pada skenario uji menghasilkan status tidak valid.</t>
  </si>
  <si>
    <t>Jangan menyimpulkan seluruh metadata terlindungi; lihat catatan keamanan.</t>
  </si>
  <si>
    <t>Server dimuat ulang lalu dokumen diverifikasi kembali</t>
  </si>
  <si>
    <t>server_reload.png</t>
  </si>
  <si>
    <t>Dokumen tetap dapat diverifikasi setelah reload pada skenario dokumentasi.</t>
  </si>
  <si>
    <t>Bukan pengujian keamanan kriptografi.</t>
  </si>
  <si>
    <t>Public key yang tidak cocok digunakan untuk verifikasi</t>
  </si>
  <si>
    <t>Belum tersedia</t>
  </si>
  <si>
    <t>-</t>
  </si>
  <si>
    <t>Hasil belum dicatat pada workbook/bukti yang tersedia.</t>
  </si>
  <si>
    <t>Jalankan dan simpan screenshot/log hasil sebelum mengklaim PASS.</t>
  </si>
  <si>
    <t>ANALISIS HASIL PENGUJIAN KEAMANAN</t>
  </si>
  <si>
    <t>Aspek</t>
  </si>
  <si>
    <t>Bukti/Hasil</t>
  </si>
  <si>
    <t>Makna</t>
  </si>
  <si>
    <t>Tindak Lanjut</t>
  </si>
  <si>
    <t>Integritas dokumen</t>
  </si>
  <si>
    <t>TERUJI</t>
  </si>
  <si>
    <t>Tamper 1 byte -&gt; INVALID</t>
  </si>
  <si>
    <t>Perubahan pada dokumen bertanda tangan dapat terdeteksi pada skenario uji.</t>
  </si>
  <si>
    <t>Pertahankan pengujian tamper.</t>
  </si>
  <si>
    <t>Multiple signer -&gt; VALID</t>
  </si>
  <si>
    <t>Fitur multiple independent signatures berjalan pada skenario yang didokumentasikan.</t>
  </si>
  <si>
    <t>Tambahkan unit test khusus jika belum ada.</t>
  </si>
  <si>
    <t>QR-Code</t>
  </si>
  <si>
    <t>TERUJI TERBATAS</t>
  </si>
  <si>
    <t>QR diubah -&gt; INVALID</t>
  </si>
  <si>
    <t>Skenario QR palsu yang tersedia menghasilkan INVALID.</t>
  </si>
  <si>
    <t>Uji juga perubahan metadata saja dan perubahan public key.</t>
  </si>
  <si>
    <t>Kunci publik salah</t>
  </si>
  <si>
    <t>BELUM TERUJI DI DATA INI</t>
  </si>
  <si>
    <t>Tidak ada bukti hasil pada file yang tersedia</t>
  </si>
  <si>
    <t>Belum tepat jika ditulis PASS tanpa bukti.</t>
  </si>
  <si>
    <t>Jalankan wrong-key test dan simpan hasil.</t>
  </si>
  <si>
    <t>Metadata QR</t>
  </si>
  <si>
    <t>PERLU ANALISIS</t>
  </si>
  <si>
    <t>Metadata perlu diperiksa apakah ikut masuk ke data yang ditandatangani.</t>
  </si>
  <si>
    <t>Validitas signature tidak otomatis berarti seluruh metadata QR terlindungi.</t>
  </si>
  <si>
    <t>Jika belum ditandatangani, tulis sebagai keterbatasan.</t>
  </si>
  <si>
    <t>HASIL UNIT TEST REPOSITORY</t>
  </si>
  <si>
    <t>Parameter</t>
  </si>
  <si>
    <t>Jumlah unit test dijalankan</t>
  </si>
  <si>
    <t>TERCATAT</t>
  </si>
  <si>
    <t>Review repository kelompok</t>
  </si>
  <si>
    <t>Review sebelumnya mencatat 8 unit test.</t>
  </si>
  <si>
    <t>Unit test lulus</t>
  </si>
  <si>
    <t>Seluruh 8 test dilaporkan lulus.</t>
  </si>
  <si>
    <t>Unit test gagal</t>
  </si>
  <si>
    <t>Tidak ada kegagalan pada hasil review.</t>
  </si>
  <si>
    <t>Ketentuan minimum tugas</t>
  </si>
  <si>
    <t>Dokumen tugas</t>
  </si>
  <si>
    <t>Minimal 5 unit test.</t>
  </si>
  <si>
    <t>DOKUMENTASI HASIL PENGUJIAN</t>
  </si>
  <si>
    <t>Dokumentasi</t>
  </si>
  <si>
    <t>File bukti</t>
  </si>
  <si>
    <t>Hasil menunjukkan status tidak valid setelah perubahan dokumen.</t>
  </si>
  <si>
    <t>Multiple signer valid</t>
  </si>
  <si>
    <t>Hasil menunjukkan status valid untuk multiple signature.</t>
  </si>
  <si>
    <t>Hasil menunjukkan status tidak valid pada skenario QR diubah.</t>
  </si>
  <si>
    <t>Dokumen tetap dapat diverifikasi setelah server reload pada skenario dokumentasi.</t>
  </si>
  <si>
    <t>Gambar disisipkan sebagai bukti visual. File asli tetap sebaiknya disimpan pada folder data pengujian/repo yang aman.</t>
  </si>
  <si>
    <t>METODOLOGI PENCATATAN DATA</t>
  </si>
  <si>
    <t>Bagian</t>
  </si>
  <si>
    <t>Metode</t>
  </si>
  <si>
    <t>Jumlah</t>
  </si>
  <si>
    <t>Benchmark</t>
  </si>
  <si>
    <t>Sign dan verify pada dokumen yang sama</t>
  </si>
  <si>
    <t>30x</t>
  </si>
  <si>
    <t>Memenuhi syarat minimal 30 percobaan.</t>
  </si>
  <si>
    <t>Ukuran</t>
  </si>
  <si>
    <t>Mencatat ukuran signature dan public key</t>
  </si>
  <si>
    <t>1 set</t>
  </si>
  <si>
    <t>PEM dan DER dicatat terpisah.</t>
  </si>
  <si>
    <t>Tamper</t>
  </si>
  <si>
    <t>Mengubah satu byte/karakter dokumen</t>
  </si>
  <si>
    <t>1 skenario</t>
  </si>
  <si>
    <t>Hasil aktual: INVALID.</t>
  </si>
  <si>
    <t>Menandatangani dokumen lebih dari sekali</t>
  </si>
  <si>
    <t>Hasil aktual: VALID.</t>
  </si>
  <si>
    <t>QR palsu</t>
  </si>
  <si>
    <t>Memodifikasi QR-Code</t>
  </si>
  <si>
    <t>Hasil aktual pada bukti: INVALID.</t>
  </si>
  <si>
    <t>Wrong key</t>
  </si>
  <si>
    <t>Menggunakan public key yang tidak cocok</t>
  </si>
  <si>
    <t>Belum tercatat</t>
  </si>
  <si>
    <t>Harus dijalankan sebelum finalisasi.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</si>
</sst>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4" xfId="0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D"/>
              <a:t>Waktu Signing dan Verification</a:t>
            </a:r>
          </a:p>
        </c:rich>
      </c:tx>
      <c:layout>
        <c:manualLayout>
          <c:xMode val="edge"/>
          <c:yMode val="edge"/>
          <c:x val="0.33974481481481483"/>
          <c:y val="6.6145833333333334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'Benchmark 30x'!$B$3</c:f>
              <c:strCache>
                <c:ptCount val="1"/>
                <c:pt idx="0">
                  <c:v>Waktu Sign (ms)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'Benchmark 30x'!$A$4:$A$33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'Benchmark 30x'!$B$4:$B$33</c:f>
              <c:numCache>
                <c:formatCode>0.0000</c:formatCode>
                <c:ptCount val="30"/>
                <c:pt idx="0">
                  <c:v>8.4636999999999993</c:v>
                </c:pt>
                <c:pt idx="1">
                  <c:v>3.1934999999999998</c:v>
                </c:pt>
                <c:pt idx="2">
                  <c:v>3.1040000000000001</c:v>
                </c:pt>
                <c:pt idx="3">
                  <c:v>2.9376000000000002</c:v>
                </c:pt>
                <c:pt idx="4">
                  <c:v>3.7900999999999998</c:v>
                </c:pt>
                <c:pt idx="5">
                  <c:v>4.2130999999999998</c:v>
                </c:pt>
                <c:pt idx="6">
                  <c:v>3.2473999999999998</c:v>
                </c:pt>
                <c:pt idx="7">
                  <c:v>2.9058999999999999</c:v>
                </c:pt>
                <c:pt idx="8">
                  <c:v>3.0922000000000001</c:v>
                </c:pt>
                <c:pt idx="9">
                  <c:v>3.0691000000000002</c:v>
                </c:pt>
                <c:pt idx="10">
                  <c:v>3.0952000000000002</c:v>
                </c:pt>
                <c:pt idx="11">
                  <c:v>3.7763</c:v>
                </c:pt>
                <c:pt idx="12">
                  <c:v>3.8182999999999998</c:v>
                </c:pt>
                <c:pt idx="13">
                  <c:v>3.3205</c:v>
                </c:pt>
                <c:pt idx="14">
                  <c:v>3.1059999999999999</c:v>
                </c:pt>
                <c:pt idx="15">
                  <c:v>3.0278</c:v>
                </c:pt>
                <c:pt idx="16">
                  <c:v>3.4438</c:v>
                </c:pt>
                <c:pt idx="17">
                  <c:v>3.3389000000000002</c:v>
                </c:pt>
                <c:pt idx="18">
                  <c:v>3.2208999999999999</c:v>
                </c:pt>
                <c:pt idx="19">
                  <c:v>3.0124</c:v>
                </c:pt>
                <c:pt idx="20">
                  <c:v>3.1808999999999998</c:v>
                </c:pt>
                <c:pt idx="21">
                  <c:v>3.5030000000000001</c:v>
                </c:pt>
                <c:pt idx="22">
                  <c:v>3.1389999999999998</c:v>
                </c:pt>
                <c:pt idx="23">
                  <c:v>4.7032999999999996</c:v>
                </c:pt>
                <c:pt idx="24">
                  <c:v>3.1379999999999999</c:v>
                </c:pt>
                <c:pt idx="25">
                  <c:v>3.2126999999999999</c:v>
                </c:pt>
                <c:pt idx="26">
                  <c:v>2.956</c:v>
                </c:pt>
                <c:pt idx="27">
                  <c:v>2.9758</c:v>
                </c:pt>
                <c:pt idx="28">
                  <c:v>3.25</c:v>
                </c:pt>
                <c:pt idx="29">
                  <c:v>3.1408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05-4825-8BFA-6DA8A8B7347C}"/>
            </c:ext>
          </c:extLst>
        </c:ser>
        <c:ser>
          <c:idx val="1"/>
          <c:order val="1"/>
          <c:tx>
            <c:strRef>
              <c:f>'Benchmark 30x'!$C$3</c:f>
              <c:strCache>
                <c:ptCount val="1"/>
                <c:pt idx="0">
                  <c:v>Waktu Verify (ms)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'Benchmark 30x'!$A$4:$A$33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'Benchmark 30x'!$C$4:$C$33</c:f>
              <c:numCache>
                <c:formatCode>0.0000</c:formatCode>
                <c:ptCount val="30"/>
                <c:pt idx="0">
                  <c:v>3.0613000000000001</c:v>
                </c:pt>
                <c:pt idx="1">
                  <c:v>1.8071999999999999</c:v>
                </c:pt>
                <c:pt idx="2">
                  <c:v>1.7411000000000001</c:v>
                </c:pt>
                <c:pt idx="3">
                  <c:v>1.8376999999999999</c:v>
                </c:pt>
                <c:pt idx="4">
                  <c:v>2.0192999999999999</c:v>
                </c:pt>
                <c:pt idx="5">
                  <c:v>2.3254000000000001</c:v>
                </c:pt>
                <c:pt idx="6">
                  <c:v>1.7823</c:v>
                </c:pt>
                <c:pt idx="7">
                  <c:v>1.8077000000000001</c:v>
                </c:pt>
                <c:pt idx="8">
                  <c:v>1.7076</c:v>
                </c:pt>
                <c:pt idx="9">
                  <c:v>1.6853</c:v>
                </c:pt>
                <c:pt idx="10">
                  <c:v>1.7202</c:v>
                </c:pt>
                <c:pt idx="11">
                  <c:v>2.2059000000000002</c:v>
                </c:pt>
                <c:pt idx="12">
                  <c:v>2.2688999999999999</c:v>
                </c:pt>
                <c:pt idx="13">
                  <c:v>2.4201999999999999</c:v>
                </c:pt>
                <c:pt idx="14">
                  <c:v>1.6572</c:v>
                </c:pt>
                <c:pt idx="15">
                  <c:v>1.7907</c:v>
                </c:pt>
                <c:pt idx="16">
                  <c:v>2.3047</c:v>
                </c:pt>
                <c:pt idx="17">
                  <c:v>1.6915</c:v>
                </c:pt>
                <c:pt idx="18">
                  <c:v>1.8459000000000001</c:v>
                </c:pt>
                <c:pt idx="19">
                  <c:v>2.3281999999999998</c:v>
                </c:pt>
                <c:pt idx="20">
                  <c:v>1.7582</c:v>
                </c:pt>
                <c:pt idx="21">
                  <c:v>1.7934000000000001</c:v>
                </c:pt>
                <c:pt idx="22">
                  <c:v>2.0061</c:v>
                </c:pt>
                <c:pt idx="23">
                  <c:v>1.8944000000000001</c:v>
                </c:pt>
                <c:pt idx="24">
                  <c:v>1.9539</c:v>
                </c:pt>
                <c:pt idx="25">
                  <c:v>1.9441999999999999</c:v>
                </c:pt>
                <c:pt idx="26">
                  <c:v>1.6859999999999999</c:v>
                </c:pt>
                <c:pt idx="27">
                  <c:v>1.6917</c:v>
                </c:pt>
                <c:pt idx="28">
                  <c:v>1.8371</c:v>
                </c:pt>
                <c:pt idx="29">
                  <c:v>1.8293999999999999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305-4825-8BFA-6DA8A8B73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Percobaan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Waktu (ms)</a:t>
                </a:r>
              </a:p>
            </c:rich>
          </c:tx>
          <c:layout>
            <c:manualLayout>
              <c:xMode val="edge"/>
              <c:yMode val="edge"/>
              <c:x val="1.4111111111111111E-2"/>
              <c:y val="0.38480694444444447"/>
            </c:manualLayout>
          </c:layout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3583925925925919"/>
          <c:y val="0.16008576388888887"/>
          <c:w val="0.24299407407407408"/>
          <c:h val="0.15948124999999999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30480</xdr:colOff>
      <xdr:row>3</xdr:row>
      <xdr:rowOff>15240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2476500" cy="154686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/>
        <a:srcRect t="9778"/>
        <a:stretch>
          <a:fillRect/>
        </a:stretch>
      </xdr:blipFill>
      <xdr:spPr>
        <a:xfrm>
          <a:off x="7254240" y="716280"/>
          <a:ext cx="2476500" cy="154686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</xdr:row>
      <xdr:rowOff>7620</xdr:rowOff>
    </xdr:from>
    <xdr:ext cx="2476500" cy="156972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 rotWithShape="1">
        <a:blip xmlns:r="http://schemas.openxmlformats.org/officeDocument/2006/relationships" r:embed="rId2" cstate="print"/>
        <a:srcRect t="8445"/>
        <a:stretch>
          <a:fillRect/>
        </a:stretch>
      </xdr:blipFill>
      <xdr:spPr>
        <a:xfrm>
          <a:off x="7254240" y="2446020"/>
          <a:ext cx="2476500" cy="1569720"/>
        </a:xfrm>
        <a:prstGeom prst="rect">
          <a:avLst/>
        </a:prstGeom>
      </xdr:spPr>
    </xdr:pic>
    <xdr:clientData/>
  </xdr:oneCellAnchor>
  <xdr:oneCellAnchor>
    <xdr:from>
      <xdr:col>3</xdr:col>
      <xdr:colOff>1363980</xdr:colOff>
      <xdr:row>5</xdr:row>
      <xdr:rowOff>7620</xdr:rowOff>
    </xdr:from>
    <xdr:ext cx="2476500" cy="153924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 rotWithShape="1">
        <a:blip xmlns:r="http://schemas.openxmlformats.org/officeDocument/2006/relationships" r:embed="rId3" cstate="print"/>
        <a:srcRect t="10222"/>
        <a:stretch>
          <a:fillRect/>
        </a:stretch>
      </xdr:blipFill>
      <xdr:spPr>
        <a:xfrm>
          <a:off x="7246620" y="4183380"/>
          <a:ext cx="2476500" cy="153924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6</xdr:row>
      <xdr:rowOff>15240</xdr:rowOff>
    </xdr:from>
    <xdr:ext cx="2476500" cy="156972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 rotWithShape="1">
        <a:blip xmlns:r="http://schemas.openxmlformats.org/officeDocument/2006/relationships" r:embed="rId4" cstate="print"/>
        <a:srcRect t="8445"/>
        <a:stretch>
          <a:fillRect/>
        </a:stretch>
      </xdr:blipFill>
      <xdr:spPr>
        <a:xfrm>
          <a:off x="7254240" y="5928360"/>
          <a:ext cx="2476500" cy="156972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tabSelected="1" workbookViewId="0">
      <pane ySplit="8" topLeftCell="A9" activePane="bottomLeft" state="frozen"/>
      <selection pane="bottomLeft" activeCell="B12" sqref="B12"/>
    </sheetView>
  </sheetViews>
  <sheetFormatPr defaultRowHeight="14.4" x14ac:dyDescent="0.3"/>
  <cols>
    <col min="1" max="1" width="33.109375" customWidth="1"/>
    <col min="2" max="2" width="55" customWidth="1"/>
    <col min="3" max="3" width="30" customWidth="1"/>
    <col min="4" max="4" width="28" customWidth="1"/>
    <col min="5" max="6" width="10" customWidth="1"/>
  </cols>
  <sheetData>
    <row r="1" spans="1:6" ht="28.05" customHeight="1" x14ac:dyDescent="0.3">
      <c r="A1" s="16" t="s">
        <v>0</v>
      </c>
      <c r="B1" s="20"/>
      <c r="C1" s="20"/>
      <c r="D1" s="20"/>
      <c r="E1" s="20"/>
      <c r="F1" s="20"/>
    </row>
    <row r="3" spans="1:6" x14ac:dyDescent="0.3">
      <c r="A3" s="9" t="s">
        <v>1</v>
      </c>
      <c r="B3" s="17" t="s">
        <v>2</v>
      </c>
      <c r="C3" s="18"/>
      <c r="D3" s="18"/>
      <c r="E3" s="18"/>
      <c r="F3" s="19"/>
    </row>
    <row r="4" spans="1:6" x14ac:dyDescent="0.3">
      <c r="A4" s="9" t="s">
        <v>3</v>
      </c>
      <c r="B4" s="17" t="s">
        <v>4</v>
      </c>
      <c r="C4" s="18"/>
      <c r="D4" s="18"/>
      <c r="E4" s="18"/>
      <c r="F4" s="19"/>
    </row>
    <row r="5" spans="1:6" x14ac:dyDescent="0.3">
      <c r="A5" s="9" t="s">
        <v>5</v>
      </c>
      <c r="B5" s="17" t="s">
        <v>6</v>
      </c>
      <c r="C5" s="18"/>
      <c r="D5" s="18"/>
      <c r="E5" s="18"/>
      <c r="F5" s="19"/>
    </row>
    <row r="6" spans="1:6" x14ac:dyDescent="0.3">
      <c r="A6" s="9" t="s">
        <v>7</v>
      </c>
      <c r="B6" s="17" t="s">
        <v>8</v>
      </c>
      <c r="C6" s="18"/>
      <c r="D6" s="18"/>
      <c r="E6" s="18"/>
      <c r="F6" s="19"/>
    </row>
    <row r="8" spans="1:6" x14ac:dyDescent="0.3">
      <c r="A8" s="1" t="s">
        <v>9</v>
      </c>
      <c r="B8" s="1"/>
      <c r="C8" s="1"/>
      <c r="D8" s="1"/>
      <c r="E8" s="1"/>
      <c r="F8" s="1"/>
    </row>
    <row r="9" spans="1:6" x14ac:dyDescent="0.3">
      <c r="A9" s="5" t="s">
        <v>10</v>
      </c>
      <c r="B9" s="5" t="s">
        <v>11</v>
      </c>
      <c r="C9" s="5" t="s">
        <v>12</v>
      </c>
      <c r="D9" s="6" t="s">
        <v>13</v>
      </c>
    </row>
    <row r="10" spans="1:6" x14ac:dyDescent="0.3">
      <c r="A10" s="5" t="s">
        <v>14</v>
      </c>
      <c r="B10" s="5" t="s">
        <v>11</v>
      </c>
      <c r="C10" s="5" t="s">
        <v>15</v>
      </c>
      <c r="D10" s="6" t="s">
        <v>13</v>
      </c>
    </row>
    <row r="11" spans="1:6" x14ac:dyDescent="0.3">
      <c r="A11" s="5" t="s">
        <v>16</v>
      </c>
      <c r="B11" s="5" t="s">
        <v>17</v>
      </c>
      <c r="C11" s="5" t="s">
        <v>18</v>
      </c>
      <c r="D11" s="6" t="s">
        <v>13</v>
      </c>
    </row>
    <row r="12" spans="1:6" x14ac:dyDescent="0.3">
      <c r="A12" s="5" t="s">
        <v>19</v>
      </c>
      <c r="B12" s="5" t="s">
        <v>20</v>
      </c>
      <c r="C12" s="5" t="s">
        <v>21</v>
      </c>
      <c r="D12" s="6" t="s">
        <v>13</v>
      </c>
    </row>
    <row r="13" spans="1:6" x14ac:dyDescent="0.3">
      <c r="A13" s="5" t="s">
        <v>22</v>
      </c>
      <c r="B13" s="5" t="s">
        <v>23</v>
      </c>
      <c r="C13" s="5" t="s">
        <v>24</v>
      </c>
      <c r="D13" s="6" t="s">
        <v>25</v>
      </c>
    </row>
    <row r="14" spans="1:6" x14ac:dyDescent="0.3">
      <c r="A14" s="5" t="s">
        <v>26</v>
      </c>
      <c r="B14" s="5" t="s">
        <v>27</v>
      </c>
      <c r="C14" s="5" t="s">
        <v>28</v>
      </c>
      <c r="D14" s="6" t="s">
        <v>25</v>
      </c>
    </row>
    <row r="15" spans="1:6" x14ac:dyDescent="0.3">
      <c r="A15" s="5" t="s">
        <v>29</v>
      </c>
      <c r="B15" s="5" t="s">
        <v>30</v>
      </c>
      <c r="C15" s="5" t="s">
        <v>24</v>
      </c>
      <c r="D15" s="6" t="s">
        <v>25</v>
      </c>
    </row>
    <row r="16" spans="1:6" x14ac:dyDescent="0.3">
      <c r="A16" s="5" t="s">
        <v>31</v>
      </c>
      <c r="B16" s="5" t="s">
        <v>32</v>
      </c>
      <c r="C16" s="5" t="s">
        <v>28</v>
      </c>
      <c r="D16" s="6" t="s">
        <v>25</v>
      </c>
    </row>
    <row r="17" spans="1:4" x14ac:dyDescent="0.3">
      <c r="A17" s="5" t="s">
        <v>33</v>
      </c>
      <c r="B17" s="5" t="s">
        <v>34</v>
      </c>
      <c r="C17" s="5" t="s">
        <v>35</v>
      </c>
      <c r="D17" s="6" t="s">
        <v>36</v>
      </c>
    </row>
    <row r="18" spans="1:4" x14ac:dyDescent="0.3">
      <c r="A18" s="5" t="s">
        <v>37</v>
      </c>
      <c r="B18" s="5" t="s">
        <v>38</v>
      </c>
      <c r="C18" s="5" t="s">
        <v>39</v>
      </c>
      <c r="D18" s="7" t="s">
        <v>40</v>
      </c>
    </row>
  </sheetData>
  <mergeCells count="5">
    <mergeCell ref="B4:F4"/>
    <mergeCell ref="B6:F6"/>
    <mergeCell ref="A1:F1"/>
    <mergeCell ref="B3:F3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0"/>
  <sheetViews>
    <sheetView workbookViewId="0">
      <pane ySplit="3" topLeftCell="A4" activePane="bottomLeft" state="frozen"/>
      <selection pane="bottomLeft" activeCell="C40" sqref="C40"/>
    </sheetView>
  </sheetViews>
  <sheetFormatPr defaultRowHeight="14.4" x14ac:dyDescent="0.3"/>
  <cols>
    <col min="1" max="1" width="24" customWidth="1"/>
    <col min="2" max="2" width="18" customWidth="1"/>
    <col min="3" max="4" width="19" customWidth="1"/>
    <col min="5" max="5" width="14.6640625" customWidth="1"/>
  </cols>
  <sheetData>
    <row r="1" spans="1:5" ht="28.05" customHeight="1" x14ac:dyDescent="0.3">
      <c r="A1" s="16" t="s">
        <v>41</v>
      </c>
      <c r="B1" s="16"/>
      <c r="C1" s="16"/>
      <c r="D1" s="16"/>
    </row>
    <row r="3" spans="1:5" x14ac:dyDescent="0.3">
      <c r="A3" s="1" t="s">
        <v>42</v>
      </c>
      <c r="B3" s="1" t="s">
        <v>43</v>
      </c>
      <c r="C3" s="1" t="s">
        <v>44</v>
      </c>
      <c r="D3" s="1" t="s">
        <v>45</v>
      </c>
      <c r="E3" s="10"/>
    </row>
    <row r="4" spans="1:5" x14ac:dyDescent="0.3">
      <c r="A4" s="3">
        <v>1</v>
      </c>
      <c r="B4" s="4">
        <v>8.4636999999999993</v>
      </c>
      <c r="C4" s="4">
        <v>3.0613000000000001</v>
      </c>
      <c r="D4" s="3" t="s">
        <v>47</v>
      </c>
      <c r="E4" s="3"/>
    </row>
    <row r="5" spans="1:5" x14ac:dyDescent="0.3">
      <c r="A5" s="3">
        <v>2</v>
      </c>
      <c r="B5" s="4">
        <v>3.1934999999999998</v>
      </c>
      <c r="C5" s="4">
        <v>1.8071999999999999</v>
      </c>
      <c r="D5" s="3" t="s">
        <v>47</v>
      </c>
      <c r="E5" s="3"/>
    </row>
    <row r="6" spans="1:5" x14ac:dyDescent="0.3">
      <c r="A6" s="3">
        <v>3</v>
      </c>
      <c r="B6" s="4">
        <v>3.1040000000000001</v>
      </c>
      <c r="C6" s="4">
        <v>1.7411000000000001</v>
      </c>
      <c r="D6" s="3" t="s">
        <v>47</v>
      </c>
      <c r="E6" s="3"/>
    </row>
    <row r="7" spans="1:5" x14ac:dyDescent="0.3">
      <c r="A7" s="3">
        <v>4</v>
      </c>
      <c r="B7" s="4">
        <v>2.9376000000000002</v>
      </c>
      <c r="C7" s="4">
        <v>1.8376999999999999</v>
      </c>
      <c r="D7" s="3" t="s">
        <v>47</v>
      </c>
      <c r="E7" s="3"/>
    </row>
    <row r="8" spans="1:5" x14ac:dyDescent="0.3">
      <c r="A8" s="3">
        <v>5</v>
      </c>
      <c r="B8" s="4">
        <v>3.7900999999999998</v>
      </c>
      <c r="C8" s="4">
        <v>2.0192999999999999</v>
      </c>
      <c r="D8" s="3" t="s">
        <v>47</v>
      </c>
      <c r="E8" s="3"/>
    </row>
    <row r="9" spans="1:5" x14ac:dyDescent="0.3">
      <c r="A9" s="3">
        <v>6</v>
      </c>
      <c r="B9" s="4">
        <v>4.2130999999999998</v>
      </c>
      <c r="C9" s="4">
        <v>2.3254000000000001</v>
      </c>
      <c r="D9" s="3" t="s">
        <v>47</v>
      </c>
      <c r="E9" s="3"/>
    </row>
    <row r="10" spans="1:5" x14ac:dyDescent="0.3">
      <c r="A10" s="3">
        <v>7</v>
      </c>
      <c r="B10" s="4">
        <v>3.2473999999999998</v>
      </c>
      <c r="C10" s="4">
        <v>1.7823</v>
      </c>
      <c r="D10" s="3" t="s">
        <v>47</v>
      </c>
      <c r="E10" s="3"/>
    </row>
    <row r="11" spans="1:5" x14ac:dyDescent="0.3">
      <c r="A11" s="3">
        <v>8</v>
      </c>
      <c r="B11" s="4">
        <v>2.9058999999999999</v>
      </c>
      <c r="C11" s="4">
        <v>1.8077000000000001</v>
      </c>
      <c r="D11" s="3" t="s">
        <v>47</v>
      </c>
      <c r="E11" s="3"/>
    </row>
    <row r="12" spans="1:5" x14ac:dyDescent="0.3">
      <c r="A12" s="3">
        <v>9</v>
      </c>
      <c r="B12" s="4">
        <v>3.0922000000000001</v>
      </c>
      <c r="C12" s="4">
        <v>1.7076</v>
      </c>
      <c r="D12" s="3" t="s">
        <v>47</v>
      </c>
      <c r="E12" s="3"/>
    </row>
    <row r="13" spans="1:5" x14ac:dyDescent="0.3">
      <c r="A13" s="3">
        <v>10</v>
      </c>
      <c r="B13" s="4">
        <v>3.0691000000000002</v>
      </c>
      <c r="C13" s="4">
        <v>1.6853</v>
      </c>
      <c r="D13" s="3" t="s">
        <v>47</v>
      </c>
      <c r="E13" s="3"/>
    </row>
    <row r="14" spans="1:5" x14ac:dyDescent="0.3">
      <c r="A14" s="3">
        <v>11</v>
      </c>
      <c r="B14" s="4">
        <v>3.0952000000000002</v>
      </c>
      <c r="C14" s="4">
        <v>1.7202</v>
      </c>
      <c r="D14" s="3" t="s">
        <v>47</v>
      </c>
      <c r="E14" s="3"/>
    </row>
    <row r="15" spans="1:5" x14ac:dyDescent="0.3">
      <c r="A15" s="3">
        <v>12</v>
      </c>
      <c r="B15" s="4">
        <v>3.7763</v>
      </c>
      <c r="C15" s="4">
        <v>2.2059000000000002</v>
      </c>
      <c r="D15" s="3" t="s">
        <v>47</v>
      </c>
      <c r="E15" s="3"/>
    </row>
    <row r="16" spans="1:5" x14ac:dyDescent="0.3">
      <c r="A16" s="3">
        <v>13</v>
      </c>
      <c r="B16" s="4">
        <v>3.8182999999999998</v>
      </c>
      <c r="C16" s="4">
        <v>2.2688999999999999</v>
      </c>
      <c r="D16" s="3" t="s">
        <v>47</v>
      </c>
      <c r="E16" s="3"/>
    </row>
    <row r="17" spans="1:5" x14ac:dyDescent="0.3">
      <c r="A17" s="3">
        <v>14</v>
      </c>
      <c r="B17" s="4">
        <v>3.3205</v>
      </c>
      <c r="C17" s="4">
        <v>2.4201999999999999</v>
      </c>
      <c r="D17" s="3" t="s">
        <v>47</v>
      </c>
      <c r="E17" s="3"/>
    </row>
    <row r="18" spans="1:5" x14ac:dyDescent="0.3">
      <c r="A18" s="3">
        <v>15</v>
      </c>
      <c r="B18" s="4">
        <v>3.1059999999999999</v>
      </c>
      <c r="C18" s="4">
        <v>1.6572</v>
      </c>
      <c r="D18" s="3" t="s">
        <v>47</v>
      </c>
      <c r="E18" s="3"/>
    </row>
    <row r="19" spans="1:5" x14ac:dyDescent="0.3">
      <c r="A19" s="3">
        <v>16</v>
      </c>
      <c r="B19" s="4">
        <v>3.0278</v>
      </c>
      <c r="C19" s="4">
        <v>1.7907</v>
      </c>
      <c r="D19" s="3" t="s">
        <v>47</v>
      </c>
      <c r="E19" s="3"/>
    </row>
    <row r="20" spans="1:5" x14ac:dyDescent="0.3">
      <c r="A20" s="3">
        <v>17</v>
      </c>
      <c r="B20" s="4">
        <v>3.4438</v>
      </c>
      <c r="C20" s="4">
        <v>2.3047</v>
      </c>
      <c r="D20" s="3" t="s">
        <v>47</v>
      </c>
      <c r="E20" s="3"/>
    </row>
    <row r="21" spans="1:5" x14ac:dyDescent="0.3">
      <c r="A21" s="3">
        <v>18</v>
      </c>
      <c r="B21" s="4">
        <v>3.3389000000000002</v>
      </c>
      <c r="C21" s="4">
        <v>1.6915</v>
      </c>
      <c r="D21" s="3" t="s">
        <v>47</v>
      </c>
      <c r="E21" s="3"/>
    </row>
    <row r="22" spans="1:5" x14ac:dyDescent="0.3">
      <c r="A22" s="3">
        <v>19</v>
      </c>
      <c r="B22" s="4">
        <v>3.2208999999999999</v>
      </c>
      <c r="C22" s="4">
        <v>1.8459000000000001</v>
      </c>
      <c r="D22" s="3" t="s">
        <v>47</v>
      </c>
      <c r="E22" s="3"/>
    </row>
    <row r="23" spans="1:5" x14ac:dyDescent="0.3">
      <c r="A23" s="3">
        <v>20</v>
      </c>
      <c r="B23" s="4">
        <v>3.0124</v>
      </c>
      <c r="C23" s="4">
        <v>2.3281999999999998</v>
      </c>
      <c r="D23" s="3" t="s">
        <v>47</v>
      </c>
      <c r="E23" s="3"/>
    </row>
    <row r="24" spans="1:5" x14ac:dyDescent="0.3">
      <c r="A24" s="3">
        <v>21</v>
      </c>
      <c r="B24" s="4">
        <v>3.1808999999999998</v>
      </c>
      <c r="C24" s="4">
        <v>1.7582</v>
      </c>
      <c r="D24" s="3" t="s">
        <v>47</v>
      </c>
      <c r="E24" s="3"/>
    </row>
    <row r="25" spans="1:5" x14ac:dyDescent="0.3">
      <c r="A25" s="3">
        <v>22</v>
      </c>
      <c r="B25" s="4">
        <v>3.5030000000000001</v>
      </c>
      <c r="C25" s="4">
        <v>1.7934000000000001</v>
      </c>
      <c r="D25" s="3" t="s">
        <v>47</v>
      </c>
      <c r="E25" s="3"/>
    </row>
    <row r="26" spans="1:5" x14ac:dyDescent="0.3">
      <c r="A26" s="3">
        <v>23</v>
      </c>
      <c r="B26" s="4">
        <v>3.1389999999999998</v>
      </c>
      <c r="C26" s="4">
        <v>2.0061</v>
      </c>
      <c r="D26" s="3" t="s">
        <v>47</v>
      </c>
      <c r="E26" s="3"/>
    </row>
    <row r="27" spans="1:5" x14ac:dyDescent="0.3">
      <c r="A27" s="3">
        <v>24</v>
      </c>
      <c r="B27" s="4">
        <v>4.7032999999999996</v>
      </c>
      <c r="C27" s="4">
        <v>1.8944000000000001</v>
      </c>
      <c r="D27" s="3" t="s">
        <v>47</v>
      </c>
      <c r="E27" s="3"/>
    </row>
    <row r="28" spans="1:5" x14ac:dyDescent="0.3">
      <c r="A28" s="3">
        <v>25</v>
      </c>
      <c r="B28" s="4">
        <v>3.1379999999999999</v>
      </c>
      <c r="C28" s="4">
        <v>1.9539</v>
      </c>
      <c r="D28" s="3" t="s">
        <v>47</v>
      </c>
      <c r="E28" s="3"/>
    </row>
    <row r="29" spans="1:5" x14ac:dyDescent="0.3">
      <c r="A29" s="3">
        <v>26</v>
      </c>
      <c r="B29" s="4">
        <v>3.2126999999999999</v>
      </c>
      <c r="C29" s="4">
        <v>1.9441999999999999</v>
      </c>
      <c r="D29" s="3" t="s">
        <v>47</v>
      </c>
      <c r="E29" s="3"/>
    </row>
    <row r="30" spans="1:5" x14ac:dyDescent="0.3">
      <c r="A30" s="3">
        <v>27</v>
      </c>
      <c r="B30" s="4">
        <v>2.956</v>
      </c>
      <c r="C30" s="4">
        <v>1.6859999999999999</v>
      </c>
      <c r="D30" s="3" t="s">
        <v>47</v>
      </c>
      <c r="E30" s="3"/>
    </row>
    <row r="31" spans="1:5" x14ac:dyDescent="0.3">
      <c r="A31" s="3">
        <v>28</v>
      </c>
      <c r="B31" s="4">
        <v>2.9758</v>
      </c>
      <c r="C31" s="4">
        <v>1.6917</v>
      </c>
      <c r="D31" s="3" t="s">
        <v>47</v>
      </c>
      <c r="E31" s="3"/>
    </row>
    <row r="32" spans="1:5" x14ac:dyDescent="0.3">
      <c r="A32" s="3">
        <v>29</v>
      </c>
      <c r="B32" s="4">
        <v>3.25</v>
      </c>
      <c r="C32" s="4">
        <v>1.8371</v>
      </c>
      <c r="D32" s="3" t="s">
        <v>47</v>
      </c>
      <c r="E32" s="12"/>
    </row>
    <row r="33" spans="1:5" x14ac:dyDescent="0.3">
      <c r="A33" s="3">
        <v>30</v>
      </c>
      <c r="B33" s="4">
        <v>3.1408</v>
      </c>
      <c r="C33" s="4">
        <v>1.8293999999999999</v>
      </c>
      <c r="D33" s="11" t="s">
        <v>47</v>
      </c>
      <c r="E33" s="13"/>
    </row>
    <row r="35" spans="1:5" x14ac:dyDescent="0.3">
      <c r="A35" s="1" t="s">
        <v>48</v>
      </c>
      <c r="B35" s="1" t="s">
        <v>49</v>
      </c>
      <c r="C35" s="1" t="s">
        <v>50</v>
      </c>
      <c r="D35" t="s">
        <v>51</v>
      </c>
    </row>
    <row r="36" spans="1:5" ht="14.4" customHeight="1" x14ac:dyDescent="0.3">
      <c r="A36" s="3" t="s">
        <v>52</v>
      </c>
      <c r="B36" s="4">
        <f>AVERAGE(B4:B33)</f>
        <v>3.4792066666666668</v>
      </c>
      <c r="C36" s="4">
        <f>AVERAGE(C4:C33)</f>
        <v>1.9467566666666665</v>
      </c>
      <c r="D36" s="15" t="s">
        <v>53</v>
      </c>
    </row>
    <row r="37" spans="1:5" x14ac:dyDescent="0.3">
      <c r="A37" s="3" t="s">
        <v>54</v>
      </c>
      <c r="B37" s="4">
        <f>MEDIAN(B4:B33)</f>
        <v>3.1871999999999998</v>
      </c>
      <c r="C37" s="4">
        <f>MEDIAN(C4:C33)</f>
        <v>1.83325</v>
      </c>
      <c r="D37" s="15"/>
    </row>
    <row r="38" spans="1:5" x14ac:dyDescent="0.3">
      <c r="A38" s="3" t="s">
        <v>55</v>
      </c>
      <c r="B38" s="4">
        <f>MIN(B4:B33)</f>
        <v>2.9058999999999999</v>
      </c>
      <c r="C38" s="4">
        <f>MIN(C4:C33)</f>
        <v>1.6572</v>
      </c>
    </row>
    <row r="39" spans="1:5" x14ac:dyDescent="0.3">
      <c r="A39" s="3" t="s">
        <v>56</v>
      </c>
      <c r="B39" s="4">
        <f>MAX(B4:B33)</f>
        <v>8.4636999999999993</v>
      </c>
      <c r="C39" s="4">
        <f>MAX(C4:C33)</f>
        <v>3.0613000000000001</v>
      </c>
    </row>
    <row r="40" spans="1:5" x14ac:dyDescent="0.3">
      <c r="A40" s="3" t="s">
        <v>57</v>
      </c>
      <c r="B40" s="4">
        <f>STDEV(B4:B33)</f>
        <v>1.0222765982855599</v>
      </c>
      <c r="C40" s="4">
        <f>STDEV(C4:C33)</f>
        <v>0.30873687232550368</v>
      </c>
    </row>
  </sheetData>
  <mergeCells count="2">
    <mergeCell ref="D36:D37"/>
    <mergeCell ref="A1:D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>
      <selection activeCell="D16" sqref="D16"/>
    </sheetView>
  </sheetViews>
  <sheetFormatPr defaultRowHeight="14.4" x14ac:dyDescent="0.3"/>
  <cols>
    <col min="1" max="1" width="29" customWidth="1"/>
    <col min="2" max="2" width="18.88671875" customWidth="1"/>
    <col min="3" max="3" width="10" customWidth="1"/>
    <col min="4" max="4" width="53" customWidth="1"/>
  </cols>
  <sheetData>
    <row r="1" spans="1:4" ht="28.05" customHeight="1" x14ac:dyDescent="0.3">
      <c r="A1" s="16" t="s">
        <v>58</v>
      </c>
      <c r="B1" s="20"/>
      <c r="C1" s="20"/>
      <c r="D1" s="20"/>
    </row>
    <row r="3" spans="1:4" x14ac:dyDescent="0.3">
      <c r="A3" s="1" t="s">
        <v>59</v>
      </c>
      <c r="B3" s="1" t="s">
        <v>60</v>
      </c>
      <c r="C3" s="1" t="s">
        <v>61</v>
      </c>
      <c r="D3" s="1" t="s">
        <v>45</v>
      </c>
    </row>
    <row r="4" spans="1:4" x14ac:dyDescent="0.3">
      <c r="A4" s="3" t="s">
        <v>62</v>
      </c>
      <c r="B4" s="3">
        <v>256</v>
      </c>
      <c r="C4" s="3" t="s">
        <v>63</v>
      </c>
      <c r="D4" s="3" t="s">
        <v>64</v>
      </c>
    </row>
    <row r="5" spans="1:4" x14ac:dyDescent="0.3">
      <c r="A5" s="3" t="s">
        <v>65</v>
      </c>
      <c r="B5" s="3">
        <v>451</v>
      </c>
      <c r="C5" s="3" t="s">
        <v>63</v>
      </c>
      <c r="D5" s="3" t="s">
        <v>66</v>
      </c>
    </row>
    <row r="6" spans="1:4" x14ac:dyDescent="0.3">
      <c r="A6" s="3" t="s">
        <v>67</v>
      </c>
      <c r="B6" s="3">
        <v>294</v>
      </c>
      <c r="C6" s="3" t="s">
        <v>63</v>
      </c>
      <c r="D6" s="3" t="s">
        <v>68</v>
      </c>
    </row>
    <row r="7" spans="1:4" x14ac:dyDescent="0.3">
      <c r="A7" s="3" t="s">
        <v>69</v>
      </c>
      <c r="B7" s="3">
        <v>2048</v>
      </c>
      <c r="C7" s="3" t="s">
        <v>70</v>
      </c>
      <c r="D7" s="3" t="s">
        <v>71</v>
      </c>
    </row>
    <row r="10" spans="1:4" x14ac:dyDescent="0.3">
      <c r="A10" s="2" t="s">
        <v>7</v>
      </c>
      <c r="B10" s="21" t="s">
        <v>72</v>
      </c>
      <c r="C10" s="20"/>
      <c r="D10" s="20"/>
    </row>
  </sheetData>
  <mergeCells count="2">
    <mergeCell ref="B10:D10"/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workbookViewId="0">
      <pane ySplit="3" topLeftCell="A4" activePane="bottomLeft" state="frozen"/>
      <selection pane="bottomLeft" activeCell="E21" sqref="E21"/>
    </sheetView>
  </sheetViews>
  <sheetFormatPr defaultRowHeight="14.4" x14ac:dyDescent="0.3"/>
  <cols>
    <col min="1" max="1" width="12.109375" customWidth="1"/>
    <col min="2" max="2" width="20" customWidth="1"/>
    <col min="3" max="3" width="32" customWidth="1"/>
    <col min="4" max="4" width="25" customWidth="1"/>
    <col min="5" max="5" width="22" customWidth="1"/>
    <col min="6" max="6" width="24" customWidth="1"/>
    <col min="7" max="8" width="45" customWidth="1"/>
  </cols>
  <sheetData>
    <row r="1" spans="1:8" ht="28.05" customHeight="1" x14ac:dyDescent="0.3">
      <c r="A1" s="16" t="s">
        <v>73</v>
      </c>
      <c r="B1" s="20"/>
      <c r="C1" s="20"/>
      <c r="D1" s="20"/>
      <c r="E1" s="20"/>
      <c r="F1" s="20"/>
      <c r="G1" s="20"/>
      <c r="H1" s="20"/>
    </row>
    <row r="3" spans="1:8" x14ac:dyDescent="0.3">
      <c r="A3" s="1" t="s">
        <v>74</v>
      </c>
      <c r="B3" s="1" t="s">
        <v>75</v>
      </c>
      <c r="C3" s="1" t="s">
        <v>76</v>
      </c>
      <c r="D3" s="1" t="s">
        <v>77</v>
      </c>
      <c r="E3" s="1" t="s">
        <v>78</v>
      </c>
      <c r="F3" s="1" t="s">
        <v>79</v>
      </c>
      <c r="G3" s="1" t="s">
        <v>51</v>
      </c>
      <c r="H3" s="1" t="s">
        <v>7</v>
      </c>
    </row>
    <row r="4" spans="1:8" ht="28.8" x14ac:dyDescent="0.3">
      <c r="A4" s="5">
        <v>1</v>
      </c>
      <c r="B4" s="5" t="s">
        <v>22</v>
      </c>
      <c r="C4" s="5" t="s">
        <v>80</v>
      </c>
      <c r="D4" s="5" t="s">
        <v>24</v>
      </c>
      <c r="E4" s="6" t="s">
        <v>81</v>
      </c>
      <c r="F4" s="5" t="s">
        <v>82</v>
      </c>
      <c r="G4" s="5" t="s">
        <v>83</v>
      </c>
      <c r="H4" s="5" t="s">
        <v>84</v>
      </c>
    </row>
    <row r="5" spans="1:8" ht="28.8" x14ac:dyDescent="0.3">
      <c r="A5" s="5">
        <v>2</v>
      </c>
      <c r="B5" s="5" t="s">
        <v>26</v>
      </c>
      <c r="C5" s="5" t="s">
        <v>85</v>
      </c>
      <c r="D5" s="5" t="s">
        <v>28</v>
      </c>
      <c r="E5" s="6" t="s">
        <v>81</v>
      </c>
      <c r="F5" s="5" t="s">
        <v>86</v>
      </c>
      <c r="G5" s="5" t="s">
        <v>87</v>
      </c>
      <c r="H5" s="5" t="s">
        <v>84</v>
      </c>
    </row>
    <row r="6" spans="1:8" ht="28.8" x14ac:dyDescent="0.3">
      <c r="A6" s="5">
        <v>3</v>
      </c>
      <c r="B6" s="5" t="s">
        <v>88</v>
      </c>
      <c r="C6" s="5" t="s">
        <v>30</v>
      </c>
      <c r="D6" s="5" t="s">
        <v>24</v>
      </c>
      <c r="E6" s="6" t="s">
        <v>81</v>
      </c>
      <c r="F6" s="5" t="s">
        <v>89</v>
      </c>
      <c r="G6" s="5" t="s">
        <v>90</v>
      </c>
      <c r="H6" s="5" t="s">
        <v>91</v>
      </c>
    </row>
    <row r="7" spans="1:8" ht="28.8" x14ac:dyDescent="0.3">
      <c r="A7" s="5">
        <v>4</v>
      </c>
      <c r="B7" s="5" t="s">
        <v>31</v>
      </c>
      <c r="C7" s="5" t="s">
        <v>92</v>
      </c>
      <c r="D7" s="5" t="s">
        <v>28</v>
      </c>
      <c r="E7" s="6" t="s">
        <v>81</v>
      </c>
      <c r="F7" s="5" t="s">
        <v>93</v>
      </c>
      <c r="G7" s="5" t="s">
        <v>94</v>
      </c>
      <c r="H7" s="5" t="s">
        <v>95</v>
      </c>
    </row>
    <row r="8" spans="1:8" ht="28.8" x14ac:dyDescent="0.3">
      <c r="A8" s="5">
        <v>5</v>
      </c>
      <c r="B8" s="5" t="s">
        <v>33</v>
      </c>
      <c r="C8" s="5" t="s">
        <v>96</v>
      </c>
      <c r="D8" s="5" t="s">
        <v>97</v>
      </c>
      <c r="E8" s="7" t="s">
        <v>36</v>
      </c>
      <c r="F8" s="5" t="s">
        <v>98</v>
      </c>
      <c r="G8" s="5" t="s">
        <v>99</v>
      </c>
      <c r="H8" s="5" t="s">
        <v>100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>
      <selection activeCell="C12" sqref="C12"/>
    </sheetView>
  </sheetViews>
  <sheetFormatPr defaultRowHeight="14.4" x14ac:dyDescent="0.3"/>
  <cols>
    <col min="1" max="1" width="35" customWidth="1"/>
    <col min="2" max="2" width="26" customWidth="1"/>
    <col min="3" max="3" width="35" customWidth="1"/>
    <col min="4" max="5" width="45" customWidth="1"/>
  </cols>
  <sheetData>
    <row r="1" spans="1:5" ht="28.05" customHeight="1" x14ac:dyDescent="0.3">
      <c r="A1" s="16" t="s">
        <v>101</v>
      </c>
      <c r="B1" s="20"/>
      <c r="C1" s="20"/>
      <c r="D1" s="20"/>
      <c r="E1" s="20"/>
    </row>
    <row r="3" spans="1:5" x14ac:dyDescent="0.3">
      <c r="A3" s="1" t="s">
        <v>102</v>
      </c>
      <c r="B3" s="1" t="s">
        <v>78</v>
      </c>
      <c r="C3" s="1" t="s">
        <v>103</v>
      </c>
      <c r="D3" s="1" t="s">
        <v>104</v>
      </c>
      <c r="E3" s="1" t="s">
        <v>105</v>
      </c>
    </row>
    <row r="4" spans="1:5" ht="28.8" x14ac:dyDescent="0.3">
      <c r="A4" s="5" t="s">
        <v>106</v>
      </c>
      <c r="B4" s="6" t="s">
        <v>107</v>
      </c>
      <c r="C4" s="5" t="s">
        <v>108</v>
      </c>
      <c r="D4" s="5" t="s">
        <v>109</v>
      </c>
      <c r="E4" s="5" t="s">
        <v>110</v>
      </c>
    </row>
    <row r="5" spans="1:5" ht="28.8" x14ac:dyDescent="0.3">
      <c r="A5" s="5" t="s">
        <v>26</v>
      </c>
      <c r="B5" s="6" t="s">
        <v>107</v>
      </c>
      <c r="C5" s="5" t="s">
        <v>111</v>
      </c>
      <c r="D5" s="5" t="s">
        <v>112</v>
      </c>
      <c r="E5" s="5" t="s">
        <v>113</v>
      </c>
    </row>
    <row r="6" spans="1:5" ht="28.8" x14ac:dyDescent="0.3">
      <c r="A6" s="5" t="s">
        <v>114</v>
      </c>
      <c r="B6" s="7" t="s">
        <v>115</v>
      </c>
      <c r="C6" s="5" t="s">
        <v>116</v>
      </c>
      <c r="D6" s="5" t="s">
        <v>117</v>
      </c>
      <c r="E6" s="5" t="s">
        <v>118</v>
      </c>
    </row>
    <row r="7" spans="1:5" ht="28.8" x14ac:dyDescent="0.3">
      <c r="A7" s="5" t="s">
        <v>119</v>
      </c>
      <c r="B7" s="6" t="s">
        <v>120</v>
      </c>
      <c r="C7" s="5" t="s">
        <v>121</v>
      </c>
      <c r="D7" s="5" t="s">
        <v>122</v>
      </c>
      <c r="E7" s="5" t="s">
        <v>123</v>
      </c>
    </row>
    <row r="8" spans="1:5" ht="28.8" x14ac:dyDescent="0.3">
      <c r="A8" s="5" t="s">
        <v>124</v>
      </c>
      <c r="B8" s="7" t="s">
        <v>125</v>
      </c>
      <c r="C8" s="5" t="s">
        <v>126</v>
      </c>
      <c r="D8" s="5" t="s">
        <v>127</v>
      </c>
      <c r="E8" s="5" t="s">
        <v>128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selection activeCell="A9" sqref="A9"/>
    </sheetView>
  </sheetViews>
  <sheetFormatPr defaultRowHeight="14.4" x14ac:dyDescent="0.3"/>
  <cols>
    <col min="1" max="1" width="29" customWidth="1"/>
    <col min="2" max="2" width="21.33203125" customWidth="1"/>
    <col min="3" max="3" width="14.44140625" customWidth="1"/>
    <col min="4" max="4" width="28" customWidth="1"/>
    <col min="5" max="5" width="41" customWidth="1"/>
  </cols>
  <sheetData>
    <row r="1" spans="1:5" ht="28.05" customHeight="1" x14ac:dyDescent="0.3">
      <c r="A1" s="16" t="s">
        <v>129</v>
      </c>
      <c r="B1" s="20"/>
      <c r="C1" s="20"/>
      <c r="D1" s="20"/>
      <c r="E1" s="20"/>
    </row>
    <row r="3" spans="1:5" x14ac:dyDescent="0.3">
      <c r="A3" s="1" t="s">
        <v>130</v>
      </c>
      <c r="B3" s="1" t="s">
        <v>60</v>
      </c>
      <c r="C3" s="1" t="s">
        <v>78</v>
      </c>
      <c r="D3" s="1" t="s">
        <v>46</v>
      </c>
      <c r="E3" s="1" t="s">
        <v>7</v>
      </c>
    </row>
    <row r="4" spans="1:5" x14ac:dyDescent="0.3">
      <c r="A4" s="8" t="s">
        <v>131</v>
      </c>
      <c r="B4" s="8">
        <v>8</v>
      </c>
      <c r="C4" s="8" t="s">
        <v>132</v>
      </c>
      <c r="D4" s="8" t="s">
        <v>133</v>
      </c>
      <c r="E4" s="8" t="s">
        <v>134</v>
      </c>
    </row>
    <row r="5" spans="1:5" x14ac:dyDescent="0.3">
      <c r="A5" s="8" t="s">
        <v>135</v>
      </c>
      <c r="B5" s="8">
        <v>8</v>
      </c>
      <c r="C5" s="8" t="s">
        <v>81</v>
      </c>
      <c r="D5" s="8" t="s">
        <v>133</v>
      </c>
      <c r="E5" s="8" t="s">
        <v>136</v>
      </c>
    </row>
    <row r="6" spans="1:5" x14ac:dyDescent="0.3">
      <c r="A6" s="8" t="s">
        <v>137</v>
      </c>
      <c r="B6" s="8">
        <v>0</v>
      </c>
      <c r="C6" s="8" t="s">
        <v>81</v>
      </c>
      <c r="D6" s="8" t="s">
        <v>133</v>
      </c>
      <c r="E6" s="8" t="s">
        <v>138</v>
      </c>
    </row>
    <row r="7" spans="1:5" x14ac:dyDescent="0.3">
      <c r="A7" s="8" t="s">
        <v>139</v>
      </c>
      <c r="B7" s="8">
        <v>5</v>
      </c>
      <c r="C7" s="8" t="s">
        <v>81</v>
      </c>
      <c r="D7" s="8" t="s">
        <v>140</v>
      </c>
      <c r="E7" s="8" t="s">
        <v>141</v>
      </c>
    </row>
    <row r="10" spans="1:5" x14ac:dyDescent="0.3">
      <c r="A10" s="14"/>
      <c r="B10" s="21"/>
      <c r="C10" s="20"/>
      <c r="D10" s="20"/>
      <c r="E10" s="20"/>
    </row>
  </sheetData>
  <mergeCells count="2">
    <mergeCell ref="B10:E10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>
      <selection activeCell="J4" sqref="J4"/>
    </sheetView>
  </sheetViews>
  <sheetFormatPr defaultRowHeight="14.4" x14ac:dyDescent="0.3"/>
  <cols>
    <col min="1" max="1" width="20.88671875" customWidth="1"/>
    <col min="2" max="2" width="23.21875" customWidth="1"/>
    <col min="3" max="3" width="41.6640625" customWidth="1"/>
    <col min="4" max="4" width="20" customWidth="1"/>
    <col min="5" max="6" width="10" customWidth="1"/>
  </cols>
  <sheetData>
    <row r="1" spans="1:6" ht="28.05" customHeight="1" x14ac:dyDescent="0.3">
      <c r="A1" s="16" t="s">
        <v>142</v>
      </c>
      <c r="B1" s="20"/>
      <c r="C1" s="20"/>
      <c r="D1" s="20"/>
    </row>
    <row r="3" spans="1:6" x14ac:dyDescent="0.3">
      <c r="A3" s="1" t="s">
        <v>143</v>
      </c>
      <c r="B3" s="1" t="s">
        <v>144</v>
      </c>
      <c r="C3" s="1" t="s">
        <v>45</v>
      </c>
      <c r="D3" s="1" t="s">
        <v>78</v>
      </c>
    </row>
    <row r="4" spans="1:6" ht="121.8" customHeight="1" x14ac:dyDescent="0.3">
      <c r="A4" s="5" t="s">
        <v>22</v>
      </c>
      <c r="B4" s="5" t="s">
        <v>82</v>
      </c>
      <c r="C4" s="5" t="s">
        <v>145</v>
      </c>
      <c r="D4" s="5" t="s">
        <v>13</v>
      </c>
    </row>
    <row r="5" spans="1:6" ht="124.2" customHeight="1" x14ac:dyDescent="0.3">
      <c r="A5" s="5" t="s">
        <v>146</v>
      </c>
      <c r="B5" s="5" t="s">
        <v>86</v>
      </c>
      <c r="C5" s="5" t="s">
        <v>147</v>
      </c>
      <c r="D5" s="5" t="s">
        <v>13</v>
      </c>
    </row>
    <row r="6" spans="1:6" ht="121.8" customHeight="1" x14ac:dyDescent="0.3">
      <c r="A6" s="5" t="s">
        <v>29</v>
      </c>
      <c r="B6" s="5" t="s">
        <v>89</v>
      </c>
      <c r="C6" s="5" t="s">
        <v>148</v>
      </c>
      <c r="D6" s="5" t="s">
        <v>13</v>
      </c>
    </row>
    <row r="7" spans="1:6" ht="125.4" customHeight="1" x14ac:dyDescent="0.3">
      <c r="A7" s="5" t="s">
        <v>31</v>
      </c>
      <c r="B7" s="5" t="s">
        <v>93</v>
      </c>
      <c r="C7" s="5" t="s">
        <v>149</v>
      </c>
      <c r="D7" s="5" t="s">
        <v>13</v>
      </c>
    </row>
    <row r="10" spans="1:6" x14ac:dyDescent="0.3">
      <c r="A10" s="2" t="s">
        <v>7</v>
      </c>
      <c r="B10" s="21" t="s">
        <v>150</v>
      </c>
      <c r="C10" s="20"/>
      <c r="D10" s="20"/>
      <c r="E10" s="20"/>
      <c r="F10" s="20"/>
    </row>
  </sheetData>
  <mergeCells count="2">
    <mergeCell ref="A1:D1"/>
    <mergeCell ref="B10:F10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9"/>
  <sheetViews>
    <sheetView workbookViewId="0">
      <selection activeCell="B21" sqref="B21"/>
    </sheetView>
  </sheetViews>
  <sheetFormatPr defaultRowHeight="14.4" x14ac:dyDescent="0.3"/>
  <cols>
    <col min="1" max="1" width="28" customWidth="1"/>
    <col min="2" max="2" width="42" customWidth="1"/>
    <col min="3" max="3" width="16" customWidth="1"/>
    <col min="4" max="4" width="39" customWidth="1"/>
  </cols>
  <sheetData>
    <row r="1" spans="1:4" ht="28.05" customHeight="1" x14ac:dyDescent="0.3">
      <c r="A1" s="16" t="s">
        <v>151</v>
      </c>
      <c r="B1" s="20"/>
      <c r="C1" s="20"/>
      <c r="D1" s="20"/>
    </row>
    <row r="3" spans="1:4" x14ac:dyDescent="0.3">
      <c r="A3" s="1" t="s">
        <v>152</v>
      </c>
      <c r="B3" s="1" t="s">
        <v>153</v>
      </c>
      <c r="C3" s="1" t="s">
        <v>154</v>
      </c>
      <c r="D3" s="1" t="s">
        <v>45</v>
      </c>
    </row>
    <row r="4" spans="1:4" x14ac:dyDescent="0.3">
      <c r="A4" s="8" t="s">
        <v>155</v>
      </c>
      <c r="B4" s="8" t="s">
        <v>156</v>
      </c>
      <c r="C4" s="8" t="s">
        <v>157</v>
      </c>
      <c r="D4" s="8" t="s">
        <v>158</v>
      </c>
    </row>
    <row r="5" spans="1:4" x14ac:dyDescent="0.3">
      <c r="A5" s="8" t="s">
        <v>159</v>
      </c>
      <c r="B5" s="8" t="s">
        <v>160</v>
      </c>
      <c r="C5" s="8" t="s">
        <v>161</v>
      </c>
      <c r="D5" s="8" t="s">
        <v>162</v>
      </c>
    </row>
    <row r="6" spans="1:4" x14ac:dyDescent="0.3">
      <c r="A6" s="8" t="s">
        <v>163</v>
      </c>
      <c r="B6" s="8" t="s">
        <v>164</v>
      </c>
      <c r="C6" s="8" t="s">
        <v>165</v>
      </c>
      <c r="D6" s="8" t="s">
        <v>166</v>
      </c>
    </row>
    <row r="7" spans="1:4" x14ac:dyDescent="0.3">
      <c r="A7" s="8" t="s">
        <v>26</v>
      </c>
      <c r="B7" s="8" t="s">
        <v>167</v>
      </c>
      <c r="C7" s="8" t="s">
        <v>165</v>
      </c>
      <c r="D7" s="8" t="s">
        <v>168</v>
      </c>
    </row>
    <row r="8" spans="1:4" x14ac:dyDescent="0.3">
      <c r="A8" s="8" t="s">
        <v>169</v>
      </c>
      <c r="B8" s="8" t="s">
        <v>170</v>
      </c>
      <c r="C8" s="8" t="s">
        <v>165</v>
      </c>
      <c r="D8" s="8" t="s">
        <v>171</v>
      </c>
    </row>
    <row r="9" spans="1:4" x14ac:dyDescent="0.3">
      <c r="A9" s="8" t="s">
        <v>172</v>
      </c>
      <c r="B9" s="8" t="s">
        <v>173</v>
      </c>
      <c r="C9" s="8" t="s">
        <v>174</v>
      </c>
      <c r="D9" s="8" t="s">
        <v>175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Ringkasan</vt:lpstr>
      <vt:lpstr>Benchmark 30x</vt:lpstr>
      <vt:lpstr>Ukuran</vt:lpstr>
      <vt:lpstr>Pengujian Fungsional</vt:lpstr>
      <vt:lpstr>Analisis Keamanan</vt:lpstr>
      <vt:lpstr>Unit Test</vt:lpstr>
      <vt:lpstr>Bukti Screenshot</vt:lpstr>
      <vt:lpstr>Metodologi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Fariz Arkan</dc:creator>
  <cp:lastModifiedBy>fasha ajvikri</cp:lastModifiedBy>
  <dcterms:created xsi:type="dcterms:W3CDTF">2026-09-29T07:14:08Z</dcterms:created>
  <dcterms:modified xsi:type="dcterms:W3CDTF">2026-09-30T01:20:21Z</dcterms:modified>
</cp:coreProperties>
</file>